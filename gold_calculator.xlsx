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lireza\Desktop\Personal\"/>
    </mc:Choice>
  </mc:AlternateContent>
  <xr:revisionPtr revIDLastSave="0" documentId="13_ncr:1_{ABBCAD34-0829-4AF6-8491-CB3EC00AB15B}" xr6:coauthVersionLast="45" xr6:coauthVersionMax="45" xr10:uidLastSave="{00000000-0000-0000-0000-000000000000}"/>
  <bookViews>
    <workbookView xWindow="-120" yWindow="-120" windowWidth="21840" windowHeight="13290" xr2:uid="{00000000-000D-0000-FFFF-FFFF00000000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 l="1"/>
  <c r="I13" i="1" l="1"/>
  <c r="I14" i="1" s="1"/>
  <c r="I15" i="1" s="1"/>
  <c r="I12" i="1"/>
  <c r="I11" i="1"/>
  <c r="I4" i="1" l="1"/>
  <c r="E18" i="1"/>
  <c r="E20" i="1" s="1"/>
  <c r="E16" i="1"/>
  <c r="E19" i="1" l="1"/>
  <c r="B19" i="1" l="1"/>
  <c r="E9" i="1" l="1"/>
  <c r="B26" i="1"/>
  <c r="B25" i="1"/>
  <c r="B22" i="1"/>
  <c r="B20" i="1"/>
  <c r="B21" i="1" s="1"/>
  <c r="B3" i="1" l="1"/>
  <c r="B4" i="1"/>
  <c r="E10" i="1"/>
  <c r="B20" i="2"/>
  <c r="B21" i="2" s="1"/>
  <c r="B16" i="2"/>
  <c r="B15" i="2"/>
  <c r="C14" i="2"/>
  <c r="B8" i="2"/>
  <c r="B9" i="2" s="1"/>
  <c r="B7" i="2"/>
  <c r="B6" i="2"/>
  <c r="C2" i="2"/>
  <c r="C3" i="2" s="1"/>
  <c r="C4" i="2" s="1"/>
  <c r="C6" i="2" s="1"/>
  <c r="B2" i="2"/>
  <c r="B17" i="2" l="1"/>
  <c r="C5" i="2" s="1"/>
  <c r="B22" i="2"/>
  <c r="B23" i="2" s="1"/>
  <c r="B5" i="1"/>
  <c r="B6" i="1" s="1"/>
  <c r="B27" i="1"/>
  <c r="B28" i="1" s="1"/>
  <c r="C8" i="2"/>
  <c r="C9" i="2"/>
  <c r="C10" i="2" s="1"/>
  <c r="B11" i="1" l="1"/>
  <c r="B10" i="1"/>
  <c r="B12" i="1"/>
  <c r="B13" i="1" s="1"/>
</calcChain>
</file>

<file path=xl/sharedStrings.xml><?xml version="1.0" encoding="utf-8"?>
<sst xmlns="http://schemas.openxmlformats.org/spreadsheetml/2006/main" count="65" uniqueCount="45">
  <si>
    <t>قیمت یک انس طلای جهانی (24)</t>
  </si>
  <si>
    <t>قیمت یک مثقال طلای جهانی (24)</t>
  </si>
  <si>
    <t>قیمت یک گرم طلای جهانی (24)</t>
  </si>
  <si>
    <t>قیمت دلار (تومان)</t>
  </si>
  <si>
    <t>قيمت سكه تمام از طريق انس جهاني:</t>
  </si>
  <si>
    <t>مظنه طلاي ايران 17 (705) عيار از طريق انس جهاني:</t>
  </si>
  <si>
    <t xml:space="preserve">يك مثقال طلاي 18 (750) عيار از انس جهاني: </t>
  </si>
  <si>
    <t xml:space="preserve">يك گرم طلاي 18 (750) عيار از انس جهاني: </t>
  </si>
  <si>
    <t>تعداد انس ها در کیلو</t>
  </si>
  <si>
    <t>قیمت یک کیلو طلا  24 (تومان)</t>
  </si>
  <si>
    <t>قیمت یک انس طلای 24 جهانی</t>
  </si>
  <si>
    <t>قیمت دلار بر مبنال طلا (تومان)</t>
  </si>
  <si>
    <t>پرداختی</t>
  </si>
  <si>
    <t>قیمت فعلی</t>
  </si>
  <si>
    <t>قیمت سکه</t>
  </si>
  <si>
    <t>یک گرم طلا بر اساس سکه</t>
  </si>
  <si>
    <t>قیمت سک گرم طلای جهانی 18</t>
  </si>
  <si>
    <t>قیمت سکه منهای حق ضرب</t>
  </si>
  <si>
    <t>ارزش دلاری</t>
  </si>
  <si>
    <t>تعداد دلاری که الان می تونی بخری</t>
  </si>
  <si>
    <t>شاخص</t>
  </si>
  <si>
    <t>قیمت به تومان</t>
  </si>
  <si>
    <t>گرم خریداری شده</t>
  </si>
  <si>
    <t>مبلغ پرداخت شده</t>
  </si>
  <si>
    <t>قیمت هر گرم خریداری شده</t>
  </si>
  <si>
    <t>ارزش گرم خرداری شده به روز</t>
  </si>
  <si>
    <t>درصد رشد</t>
  </si>
  <si>
    <t>مبلغ رشد</t>
  </si>
  <si>
    <t>قیمت هر گرم طلای روز</t>
  </si>
  <si>
    <t>قیمت دلار بازار روز</t>
  </si>
  <si>
    <t>ارزش دلاری طلای خریداری شده به روز</t>
  </si>
  <si>
    <t>قیمت یک کیلو طلا  18 (تومان)</t>
  </si>
  <si>
    <t>قیمت دلار بر مبنای طلا (تومان)</t>
  </si>
  <si>
    <t>قیمت دلار بر مبنای سکه (تومان)</t>
  </si>
  <si>
    <t>قیمت یک گرم طلای جهانی (18)</t>
  </si>
  <si>
    <t>مبلغ</t>
  </si>
  <si>
    <t>قیمت</t>
  </si>
  <si>
    <t>قیمت دلار در زمان خرید</t>
  </si>
  <si>
    <t>تعداد خریداری شده</t>
  </si>
  <si>
    <t>مبلغ پرداختی کل</t>
  </si>
  <si>
    <t>قیمت امروز دلار</t>
  </si>
  <si>
    <t>مبلغ پرداختی کل به روز</t>
  </si>
  <si>
    <t>مظنه طلا</t>
  </si>
  <si>
    <t>تقسیم ب</t>
  </si>
  <si>
    <t>قیمت یک گرم طلای 18 اعیار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</si>
</sst>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43" fontId="0" fillId="2" borderId="0" xfId="0" applyNumberFormat="1" applyFill="1"/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43" fontId="0" fillId="2" borderId="1" xfId="1" applyNumberFormat="1" applyFont="1" applyFill="1" applyBorder="1"/>
    <xf numFmtId="164" fontId="0" fillId="2" borderId="1" xfId="1" applyNumberFormat="1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0" fontId="0" fillId="3" borderId="1" xfId="2" applyNumberFormat="1" applyFont="1" applyFill="1" applyBorder="1"/>
    <xf numFmtId="43" fontId="0" fillId="0" borderId="0" xfId="0" applyNumberFormat="1" applyFill="1"/>
    <xf numFmtId="43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3" fillId="0" borderId="1" xfId="0" applyFont="1" applyFill="1" applyBorder="1"/>
    <xf numFmtId="164" fontId="3" fillId="0" borderId="1" xfId="1" applyNumberFormat="1" applyFont="1" applyFill="1" applyBorder="1"/>
    <xf numFmtId="165" fontId="0" fillId="0" borderId="1" xfId="1" applyNumberFormat="1" applyFont="1" applyBorder="1"/>
    <xf numFmtId="0" fontId="0" fillId="0" borderId="1" xfId="0" applyBorder="1" applyAlignment="1">
      <alignment wrapText="1"/>
    </xf>
    <xf numFmtId="10" fontId="3" fillId="0" borderId="1" xfId="2" applyNumberFormat="1" applyFont="1" applyFill="1" applyBorder="1"/>
    <xf numFmtId="164" fontId="0" fillId="2" borderId="0" xfId="1" applyNumberFormat="1" applyFont="1" applyFill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0</xdr:rowOff>
    </xdr:from>
    <xdr:to>
      <xdr:col>13</xdr:col>
      <xdr:colOff>513605</xdr:colOff>
      <xdr:row>6</xdr:row>
      <xdr:rowOff>114119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9247995" y="0"/>
          <a:ext cx="5961905" cy="1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8</xdr:row>
      <xdr:rowOff>180975</xdr:rowOff>
    </xdr:from>
    <xdr:to>
      <xdr:col>13</xdr:col>
      <xdr:colOff>542175</xdr:colOff>
      <xdr:row>18</xdr:row>
      <xdr:rowOff>75969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9219425" y="1895475"/>
          <a:ext cx="6000000" cy="18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</xdr:row>
      <xdr:rowOff>133350</xdr:rowOff>
    </xdr:from>
    <xdr:to>
      <xdr:col>13</xdr:col>
      <xdr:colOff>589795</xdr:colOff>
      <xdr:row>40</xdr:row>
      <xdr:rowOff>123273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9171805" y="3800475"/>
          <a:ext cx="6038095" cy="4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rightToLeft="1" tabSelected="1" workbookViewId="0">
      <selection activeCell="E9" sqref="E9"/>
    </sheetView>
  </sheetViews>
  <sheetFormatPr defaultRowHeight="15" x14ac:dyDescent="0.25"/>
  <cols>
    <col min="1" max="1" width="40" bestFit="1" customWidth="1"/>
    <col min="2" max="2" width="14.28515625" bestFit="1" customWidth="1"/>
    <col min="3" max="3" width="15" bestFit="1" customWidth="1"/>
    <col min="4" max="4" width="21.85546875" bestFit="1" customWidth="1"/>
    <col min="5" max="5" width="14.28515625" style="3" bestFit="1" customWidth="1"/>
    <col min="8" max="8" width="22.140625" bestFit="1" customWidth="1"/>
    <col min="9" max="9" width="14.28515625" bestFit="1" customWidth="1"/>
  </cols>
  <sheetData>
    <row r="1" spans="1:9" x14ac:dyDescent="0.25">
      <c r="A1" s="20" t="s">
        <v>20</v>
      </c>
      <c r="B1" s="20" t="s">
        <v>35</v>
      </c>
      <c r="D1" s="8" t="s">
        <v>20</v>
      </c>
      <c r="E1" s="9" t="s">
        <v>21</v>
      </c>
      <c r="H1" s="8" t="s">
        <v>20</v>
      </c>
      <c r="I1" s="9" t="s">
        <v>21</v>
      </c>
    </row>
    <row r="2" spans="1:9" x14ac:dyDescent="0.25">
      <c r="A2" s="21" t="s">
        <v>0</v>
      </c>
      <c r="B2" s="22">
        <v>1201.95</v>
      </c>
      <c r="D2" s="13" t="s">
        <v>29</v>
      </c>
      <c r="E2" s="14">
        <v>16329</v>
      </c>
      <c r="H2" s="8" t="s">
        <v>42</v>
      </c>
      <c r="I2" s="9">
        <v>1790000</v>
      </c>
    </row>
    <row r="3" spans="1:9" x14ac:dyDescent="0.25">
      <c r="A3" s="21" t="s">
        <v>1</v>
      </c>
      <c r="B3" s="22">
        <f>B2/4.608</f>
        <v>260.83984375000006</v>
      </c>
      <c r="D3" s="13" t="s">
        <v>28</v>
      </c>
      <c r="E3" s="14">
        <v>985000</v>
      </c>
      <c r="H3" s="8" t="s">
        <v>43</v>
      </c>
      <c r="I3" s="27">
        <v>4.3318000000000003</v>
      </c>
    </row>
    <row r="4" spans="1:9" x14ac:dyDescent="0.25">
      <c r="A4" s="21" t="s">
        <v>2</v>
      </c>
      <c r="B4" s="22">
        <f>B2/31.103431</f>
        <v>38.643646741094258</v>
      </c>
      <c r="D4" s="10" t="s">
        <v>22</v>
      </c>
      <c r="E4" s="11">
        <v>160.91</v>
      </c>
      <c r="H4" s="8" t="s">
        <v>44</v>
      </c>
      <c r="I4" s="9">
        <f>I2/I3</f>
        <v>413223.14049586776</v>
      </c>
    </row>
    <row r="5" spans="1:9" x14ac:dyDescent="0.25">
      <c r="A5" s="21" t="s">
        <v>34</v>
      </c>
      <c r="B5" s="23">
        <f>B4*0.75</f>
        <v>28.982735055820694</v>
      </c>
      <c r="C5" s="18"/>
      <c r="D5" s="10" t="s">
        <v>23</v>
      </c>
      <c r="E5" s="12">
        <v>45879000</v>
      </c>
    </row>
    <row r="6" spans="1:9" x14ac:dyDescent="0.25">
      <c r="A6" s="21" t="s">
        <v>30</v>
      </c>
      <c r="B6" s="23">
        <f>B5*E4</f>
        <v>4663.6118978321074</v>
      </c>
      <c r="C6" s="5"/>
      <c r="D6" s="10" t="s">
        <v>24</v>
      </c>
      <c r="E6" s="12">
        <f>E5/E4</f>
        <v>285122.11795413587</v>
      </c>
    </row>
    <row r="7" spans="1:9" x14ac:dyDescent="0.25">
      <c r="C7" s="3"/>
      <c r="D7" s="15" t="s">
        <v>25</v>
      </c>
      <c r="E7" s="16">
        <f>E3*E4</f>
        <v>158496350</v>
      </c>
    </row>
    <row r="8" spans="1:9" x14ac:dyDescent="0.25">
      <c r="C8" s="5"/>
      <c r="D8" s="15" t="s">
        <v>27</v>
      </c>
      <c r="E8" s="16">
        <f>E7-E5</f>
        <v>112617350</v>
      </c>
    </row>
    <row r="9" spans="1:9" x14ac:dyDescent="0.25">
      <c r="B9" s="7"/>
      <c r="C9" s="5"/>
      <c r="D9" s="15" t="s">
        <v>26</v>
      </c>
      <c r="E9" s="17">
        <f>(E7-E5)/E5</f>
        <v>2.4546600841343533</v>
      </c>
    </row>
    <row r="10" spans="1:9" x14ac:dyDescent="0.25">
      <c r="A10" s="28" t="s">
        <v>5</v>
      </c>
      <c r="B10" s="9">
        <f>($B$2*$B$21)/9.5742</f>
        <v>2019016.8716122496</v>
      </c>
      <c r="E10" t="str">
        <f>IF(E8&gt;=0,"profit","lose")</f>
        <v>profit</v>
      </c>
    </row>
    <row r="11" spans="1:9" x14ac:dyDescent="0.25">
      <c r="A11" s="8" t="s">
        <v>4</v>
      </c>
      <c r="B11" s="9">
        <f>($B$2*$B$21)/4.24927</f>
        <v>4549127.5753694158</v>
      </c>
      <c r="I11" s="3">
        <f>14300*2150</f>
        <v>30745000</v>
      </c>
    </row>
    <row r="12" spans="1:9" x14ac:dyDescent="0.25">
      <c r="A12" s="8" t="s">
        <v>6</v>
      </c>
      <c r="B12" s="9">
        <f>($B$2*$B$21)/8.999</f>
        <v>2148068.8223347035</v>
      </c>
      <c r="I12" s="3">
        <f>2100*17500</f>
        <v>36750000</v>
      </c>
    </row>
    <row r="13" spans="1:9" x14ac:dyDescent="0.25">
      <c r="A13" s="8" t="s">
        <v>7</v>
      </c>
      <c r="B13" s="24">
        <f>B12/4.608</f>
        <v>466160.7687358298</v>
      </c>
      <c r="D13" s="8" t="s">
        <v>20</v>
      </c>
      <c r="E13" s="9" t="s">
        <v>36</v>
      </c>
      <c r="I13" s="3">
        <f>50*18200</f>
        <v>910000</v>
      </c>
    </row>
    <row r="14" spans="1:9" x14ac:dyDescent="0.25">
      <c r="D14" s="15" t="s">
        <v>37</v>
      </c>
      <c r="E14" s="16">
        <v>14300</v>
      </c>
      <c r="I14" s="3">
        <f>I13+I12</f>
        <v>37660000</v>
      </c>
    </row>
    <row r="15" spans="1:9" x14ac:dyDescent="0.25">
      <c r="D15" s="15" t="s">
        <v>38</v>
      </c>
      <c r="E15" s="16">
        <v>3500</v>
      </c>
      <c r="I15" s="30">
        <f>I14-I11</f>
        <v>6915000</v>
      </c>
    </row>
    <row r="16" spans="1:9" x14ac:dyDescent="0.25">
      <c r="D16" s="15" t="s">
        <v>39</v>
      </c>
      <c r="E16" s="16">
        <f>E15*E14</f>
        <v>50050000</v>
      </c>
    </row>
    <row r="17" spans="1:8" x14ac:dyDescent="0.25">
      <c r="D17" s="10" t="s">
        <v>40</v>
      </c>
      <c r="E17" s="12">
        <v>10000</v>
      </c>
    </row>
    <row r="18" spans="1:8" x14ac:dyDescent="0.25">
      <c r="A18" s="8" t="s">
        <v>9</v>
      </c>
      <c r="B18" s="9">
        <v>621490000</v>
      </c>
      <c r="D18" s="10" t="s">
        <v>41</v>
      </c>
      <c r="E18" s="12">
        <f>E17*E15</f>
        <v>35000000</v>
      </c>
      <c r="H18" s="5"/>
    </row>
    <row r="19" spans="1:8" x14ac:dyDescent="0.25">
      <c r="A19" s="8" t="s">
        <v>10</v>
      </c>
      <c r="B19" s="19">
        <f>B2</f>
        <v>1201.95</v>
      </c>
      <c r="D19" s="25" t="s">
        <v>26</v>
      </c>
      <c r="E19" s="29">
        <f>(E18-E16)/E16</f>
        <v>-0.30069930069930068</v>
      </c>
      <c r="H19" s="31"/>
    </row>
    <row r="20" spans="1:8" x14ac:dyDescent="0.25">
      <c r="A20" s="8" t="s">
        <v>8</v>
      </c>
      <c r="B20" s="8">
        <f>1000/31.103431</f>
        <v>32.150793910806819</v>
      </c>
      <c r="D20" s="25" t="s">
        <v>27</v>
      </c>
      <c r="E20" s="26">
        <f>E18-E16</f>
        <v>-15050000</v>
      </c>
      <c r="H20" s="3"/>
    </row>
    <row r="21" spans="1:8" x14ac:dyDescent="0.25">
      <c r="A21" s="8" t="s">
        <v>32</v>
      </c>
      <c r="B21" s="9">
        <f>B18/(B20*B19)</f>
        <v>16082.591898323557</v>
      </c>
      <c r="H21" s="5"/>
    </row>
    <row r="22" spans="1:8" x14ac:dyDescent="0.25">
      <c r="A22" s="8" t="s">
        <v>31</v>
      </c>
      <c r="B22" s="9">
        <f>$B$18*0.75</f>
        <v>466117500</v>
      </c>
    </row>
    <row r="24" spans="1:8" x14ac:dyDescent="0.25">
      <c r="A24" s="8" t="s">
        <v>14</v>
      </c>
      <c r="B24" s="9">
        <v>47900000</v>
      </c>
    </row>
    <row r="25" spans="1:8" x14ac:dyDescent="0.25">
      <c r="A25" s="8" t="s">
        <v>17</v>
      </c>
      <c r="B25" s="24">
        <f>B24-30000</f>
        <v>47870000</v>
      </c>
    </row>
    <row r="26" spans="1:8" x14ac:dyDescent="0.25">
      <c r="A26" s="8" t="s">
        <v>15</v>
      </c>
      <c r="B26" s="9">
        <f>B25/8.133</f>
        <v>5885896.9629902868</v>
      </c>
    </row>
    <row r="27" spans="1:8" x14ac:dyDescent="0.25">
      <c r="A27" s="8" t="s">
        <v>16</v>
      </c>
      <c r="B27" s="19">
        <f>B4</f>
        <v>38.643646741094258</v>
      </c>
    </row>
    <row r="28" spans="1:8" x14ac:dyDescent="0.25">
      <c r="A28" s="8" t="s">
        <v>33</v>
      </c>
      <c r="B28" s="9">
        <f>(B26/B27)*0.9</f>
        <v>137080.9360250677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rightToLeft="1" workbookViewId="0">
      <selection activeCell="D2" sqref="D2"/>
    </sheetView>
  </sheetViews>
  <sheetFormatPr defaultRowHeight="15" x14ac:dyDescent="0.25"/>
  <cols>
    <col min="1" max="1" width="34.140625" bestFit="1" customWidth="1"/>
    <col min="2" max="2" width="30.28515625" customWidth="1"/>
    <col min="3" max="3" width="28.140625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1196.49</v>
      </c>
      <c r="B2" s="2">
        <f>A2/4.608</f>
        <v>259.65494791666669</v>
      </c>
      <c r="C2" s="2">
        <f>A2/31.103431</f>
        <v>38.46810340634125</v>
      </c>
      <c r="D2" s="3">
        <v>14350</v>
      </c>
    </row>
    <row r="3" spans="1:4" x14ac:dyDescent="0.25">
      <c r="C3" s="4">
        <f>C2*0.75</f>
        <v>28.851077554755939</v>
      </c>
    </row>
    <row r="4" spans="1:4" x14ac:dyDescent="0.25">
      <c r="B4" s="7" t="s">
        <v>18</v>
      </c>
      <c r="C4" s="4">
        <f>C3*160.91</f>
        <v>4642.4268893357785</v>
      </c>
    </row>
    <row r="5" spans="1:4" x14ac:dyDescent="0.25">
      <c r="B5" s="7" t="s">
        <v>19</v>
      </c>
      <c r="C5" s="6">
        <f>C7/B17</f>
        <v>3372.6578306092802</v>
      </c>
    </row>
    <row r="6" spans="1:4" ht="30" x14ac:dyDescent="0.25">
      <c r="A6" s="1" t="s">
        <v>5</v>
      </c>
      <c r="B6" s="3">
        <f>($A$2*$D$2)/9.5742</f>
        <v>1793322.836372752</v>
      </c>
      <c r="C6" s="5">
        <f>C4*D2</f>
        <v>66618825.86196842</v>
      </c>
      <c r="D6" t="s">
        <v>13</v>
      </c>
    </row>
    <row r="7" spans="1:4" x14ac:dyDescent="0.25">
      <c r="A7" t="s">
        <v>4</v>
      </c>
      <c r="B7" s="3">
        <f>($A$2*$D$2)/4.24927</f>
        <v>4040607.3278469006</v>
      </c>
      <c r="C7" s="3">
        <v>45879000</v>
      </c>
      <c r="D7" t="s">
        <v>12</v>
      </c>
    </row>
    <row r="8" spans="1:4" x14ac:dyDescent="0.25">
      <c r="A8" t="s">
        <v>6</v>
      </c>
      <c r="B8" s="3">
        <f>($A$2*$D$2)/8.999</f>
        <v>1907948.8276475163</v>
      </c>
      <c r="C8" s="5">
        <f>C7-C6</f>
        <v>-20739825.86196842</v>
      </c>
    </row>
    <row r="9" spans="1:4" x14ac:dyDescent="0.25">
      <c r="A9" t="s">
        <v>7</v>
      </c>
      <c r="B9" s="5">
        <f>B8/4.608</f>
        <v>414051.39488878392</v>
      </c>
      <c r="C9" s="5">
        <f>C6-C7</f>
        <v>20739825.86196842</v>
      </c>
    </row>
    <row r="10" spans="1:4" x14ac:dyDescent="0.25">
      <c r="C10" t="str">
        <f>IF(C9&gt;=0,"profit","lose")</f>
        <v>profit</v>
      </c>
    </row>
    <row r="14" spans="1:4" x14ac:dyDescent="0.25">
      <c r="A14" t="s">
        <v>9</v>
      </c>
      <c r="B14" s="3">
        <v>523290000</v>
      </c>
      <c r="C14" s="3">
        <f>B14*0.75</f>
        <v>392467500</v>
      </c>
    </row>
    <row r="15" spans="1:4" x14ac:dyDescent="0.25">
      <c r="A15" t="s">
        <v>10</v>
      </c>
      <c r="B15" s="4">
        <f>A2</f>
        <v>1196.49</v>
      </c>
    </row>
    <row r="16" spans="1:4" x14ac:dyDescent="0.25">
      <c r="A16" t="s">
        <v>8</v>
      </c>
      <c r="B16">
        <f>1000/31.103431</f>
        <v>32.150793910806819</v>
      </c>
    </row>
    <row r="17" spans="1:2" x14ac:dyDescent="0.25">
      <c r="A17" t="s">
        <v>11</v>
      </c>
      <c r="B17" s="3">
        <f>B14/(B16*B15)</f>
        <v>13603.218086227214</v>
      </c>
    </row>
    <row r="18" spans="1:2" ht="18.75" customHeight="1" x14ac:dyDescent="0.25"/>
    <row r="19" spans="1:2" ht="18.75" customHeight="1" x14ac:dyDescent="0.25">
      <c r="A19" t="s">
        <v>14</v>
      </c>
      <c r="B19" s="3">
        <v>45080000</v>
      </c>
    </row>
    <row r="20" spans="1:2" ht="18.75" customHeight="1" x14ac:dyDescent="0.25">
      <c r="A20" t="s">
        <v>17</v>
      </c>
      <c r="B20" s="3">
        <f>B19-30000</f>
        <v>45050000</v>
      </c>
    </row>
    <row r="21" spans="1:2" ht="18.75" customHeight="1" x14ac:dyDescent="0.25">
      <c r="A21" t="s">
        <v>15</v>
      </c>
      <c r="B21" s="5">
        <f>B20/8.133</f>
        <v>5539161.4410426663</v>
      </c>
    </row>
    <row r="22" spans="1:2" ht="18.75" customHeight="1" x14ac:dyDescent="0.25">
      <c r="A22" t="s">
        <v>16</v>
      </c>
      <c r="B22" s="4">
        <f>C2</f>
        <v>38.46810340634125</v>
      </c>
    </row>
    <row r="23" spans="1:2" ht="18.75" customHeight="1" x14ac:dyDescent="0.25">
      <c r="B23">
        <f>(B21/B22)*0.9</f>
        <v>129594.25746257638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Aali</dc:creator>
  <cp:lastModifiedBy>Alireza</cp:lastModifiedBy>
  <dcterms:created xsi:type="dcterms:W3CDTF">2018-07-28T10:15:48Z</dcterms:created>
  <dcterms:modified xsi:type="dcterms:W3CDTF">2020-07-23T07:20:22Z</dcterms:modified>
</cp:coreProperties>
</file>